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nst\Documents\Лера Курсы\Looking for a new job\Проект\готово\готово\Gid Hub\"/>
    </mc:Choice>
  </mc:AlternateContent>
  <bookViews>
    <workbookView xWindow="0" yWindow="0" windowWidth="28800" windowHeight="13020" activeTab="1"/>
  </bookViews>
  <sheets>
    <sheet name="Projects" sheetId="1" r:id="rId1"/>
    <sheet name="Monthly_Costs" sheetId="2" r:id="rId2"/>
  </sheets>
  <calcPr calcId="162913" iterate="1" iterateDelta="1.0000000000000001E-5"/>
</workbook>
</file>

<file path=xl/calcChain.xml><?xml version="1.0" encoding="utf-8"?>
<calcChain xmlns="http://schemas.openxmlformats.org/spreadsheetml/2006/main"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I2" i="1"/>
  <c r="I6" i="1"/>
  <c r="I5" i="1"/>
  <c r="I4" i="1"/>
  <c r="I3" i="1"/>
  <c r="J2" i="1"/>
  <c r="H6" i="1"/>
  <c r="H5" i="1"/>
  <c r="H4" i="1"/>
  <c r="H3" i="1"/>
  <c r="H2" i="1"/>
  <c r="J6" i="1"/>
  <c r="J5" i="1"/>
  <c r="J4" i="1"/>
  <c r="J3" i="1"/>
</calcChain>
</file>

<file path=xl/sharedStrings.xml><?xml version="1.0" encoding="utf-8"?>
<sst xmlns="http://schemas.openxmlformats.org/spreadsheetml/2006/main" count="108" uniqueCount="50">
  <si>
    <t>Job_Number</t>
  </si>
  <si>
    <t>Province</t>
  </si>
  <si>
    <t>Project_Name</t>
  </si>
  <si>
    <t>Project_Type</t>
  </si>
  <si>
    <t>Contracted_Budget</t>
  </si>
  <si>
    <t>Actual_Costs</t>
  </si>
  <si>
    <t>Committed_Costs</t>
  </si>
  <si>
    <t>Budget_Used_Pct</t>
  </si>
  <si>
    <t>Variance_Amount</t>
  </si>
  <si>
    <t>Variance_Pct</t>
  </si>
  <si>
    <t>Status</t>
  </si>
  <si>
    <t>Completion_Pct</t>
  </si>
  <si>
    <t>Notes</t>
  </si>
  <si>
    <t>BC-2401</t>
  </si>
  <si>
    <t>BC</t>
  </si>
  <si>
    <t>Northgate Community Centre</t>
  </si>
  <si>
    <t>Community Facility</t>
  </si>
  <si>
    <t>In Progress</t>
  </si>
  <si>
    <t>Structural phase complete; mechanical underway</t>
  </si>
  <si>
    <t>AB-2402</t>
  </si>
  <si>
    <t>AB</t>
  </si>
  <si>
    <t>Riverside Office Tower Fitup</t>
  </si>
  <si>
    <t>Commercial Fitup</t>
  </si>
  <si>
    <t>Deficiency list in progress; handover Q3 2025</t>
  </si>
  <si>
    <t>ON-2403</t>
  </si>
  <si>
    <t>ON</t>
  </si>
  <si>
    <t>Lakeview Retail Plaza Reno</t>
  </si>
  <si>
    <t>Retail Renovation</t>
  </si>
  <si>
    <t>Completed</t>
  </si>
  <si>
    <t>Over budget; change orders approved by owner</t>
  </si>
  <si>
    <t>NS-2404</t>
  </si>
  <si>
    <t>NS</t>
  </si>
  <si>
    <t>Harbour District Apartments</t>
  </si>
  <si>
    <t>Multi-Unit Residential</t>
  </si>
  <si>
    <t>On schedule; envelope work ahead of plan</t>
  </si>
  <si>
    <t>NB-2405</t>
  </si>
  <si>
    <t>NB</t>
  </si>
  <si>
    <t>Eastside Medical Clinic Fitup</t>
  </si>
  <si>
    <t>Healthcare Fitup</t>
  </si>
  <si>
    <t>Permit delay resolved; back on track</t>
  </si>
  <si>
    <t>Month</t>
  </si>
  <si>
    <t>Budget_Monthly</t>
  </si>
  <si>
    <t>Actual_Monthly</t>
  </si>
  <si>
    <t>Variance_Monthly</t>
  </si>
  <si>
    <t>Jan-25</t>
  </si>
  <si>
    <t>Feb-25</t>
  </si>
  <si>
    <t>Mar-25</t>
  </si>
  <si>
    <t>Apr-25</t>
  </si>
  <si>
    <t>May-25</t>
  </si>
  <si>
    <t>Jun-25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</si>
</sst>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E6B3C"/>
      <name val="Calibri"/>
      <family val="2"/>
    </font>
    <font>
      <b/>
      <sz val="11"/>
      <color rgb="FF2E5090"/>
      <name val="Calibri"/>
      <family val="2"/>
    </font>
    <font>
      <b/>
      <sz val="11"/>
      <color rgb="FF8B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F2F4F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6F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3CD"/>
      <color rgb="FFD6F0E0"/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13" customWidth="1"/>
    <col min="2" max="2" width="10" customWidth="1"/>
    <col min="3" max="3" width="32" customWidth="1"/>
    <col min="4" max="4" width="22" customWidth="1"/>
    <col min="5" max="7" width="18" customWidth="1"/>
    <col min="8" max="8" width="17.44140625" customWidth="1"/>
    <col min="9" max="9" width="17.5546875" customWidth="1"/>
    <col min="10" max="11" width="14" customWidth="1"/>
    <col min="12" max="12" width="16.6640625" customWidth="1"/>
    <col min="13" max="13" width="42" customWidth="1"/>
  </cols>
  <sheetData>
    <row r="1" spans="1:13" ht="28.05" customHeigh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1" t="s">
        <v>12</v>
      </c>
    </row>
    <row r="2" spans="1:13" ht="22.05" customHeight="1" x14ac:dyDescent="0.3">
      <c r="A2" s="2" t="s">
        <v>13</v>
      </c>
      <c r="B2" s="2" t="s">
        <v>14</v>
      </c>
      <c r="C2" s="3" t="s">
        <v>15</v>
      </c>
      <c r="D2" s="3" t="s">
        <v>16</v>
      </c>
      <c r="E2" s="10">
        <v>1240000</v>
      </c>
      <c r="F2" s="10">
        <v>876500</v>
      </c>
      <c r="G2" s="10">
        <v>142000</v>
      </c>
      <c r="H2" s="11">
        <f>F2/E2</f>
        <v>0.70685483870967747</v>
      </c>
      <c r="I2" s="14">
        <f>E2-F2-G2</f>
        <v>221500</v>
      </c>
      <c r="J2" s="20">
        <f>I2/E2</f>
        <v>0.17862903225806451</v>
      </c>
      <c r="K2" s="5" t="s">
        <v>17</v>
      </c>
      <c r="L2" s="11">
        <v>0.74</v>
      </c>
      <c r="M2" s="3" t="s">
        <v>18</v>
      </c>
    </row>
    <row r="3" spans="1:13" ht="22.05" customHeight="1" x14ac:dyDescent="0.3">
      <c r="A3" s="6" t="s">
        <v>19</v>
      </c>
      <c r="B3" s="6" t="s">
        <v>20</v>
      </c>
      <c r="C3" s="7" t="s">
        <v>21</v>
      </c>
      <c r="D3" s="7" t="s">
        <v>22</v>
      </c>
      <c r="E3" s="13">
        <v>3850000</v>
      </c>
      <c r="F3" s="13">
        <v>3791200</v>
      </c>
      <c r="G3" s="13">
        <v>42000</v>
      </c>
      <c r="H3" s="12">
        <f t="shared" ref="H3:H6" si="0">F3/E3</f>
        <v>0.98472727272727267</v>
      </c>
      <c r="I3" s="15">
        <f t="shared" ref="I3:I6" si="1">E3-F3-G3</f>
        <v>16800</v>
      </c>
      <c r="J3" s="21">
        <f t="shared" ref="J3:J6" si="2">I3/E3</f>
        <v>4.3636363636363638E-3</v>
      </c>
      <c r="K3" s="5" t="s">
        <v>17</v>
      </c>
      <c r="L3" s="12">
        <v>0.98</v>
      </c>
      <c r="M3" s="7" t="s">
        <v>23</v>
      </c>
    </row>
    <row r="4" spans="1:13" ht="22.05" customHeight="1" x14ac:dyDescent="0.3">
      <c r="A4" s="2" t="s">
        <v>24</v>
      </c>
      <c r="B4" s="2" t="s">
        <v>25</v>
      </c>
      <c r="C4" s="3" t="s">
        <v>26</v>
      </c>
      <c r="D4" s="3" t="s">
        <v>27</v>
      </c>
      <c r="E4" s="10">
        <v>920000</v>
      </c>
      <c r="F4" s="10">
        <v>943600</v>
      </c>
      <c r="G4" s="10">
        <v>0</v>
      </c>
      <c r="H4" s="11">
        <f t="shared" si="0"/>
        <v>1.0256521739130435</v>
      </c>
      <c r="I4" s="16">
        <f t="shared" si="1"/>
        <v>-23600</v>
      </c>
      <c r="J4" s="22">
        <f t="shared" si="2"/>
        <v>-2.5652173913043478E-2</v>
      </c>
      <c r="K4" s="17" t="s">
        <v>28</v>
      </c>
      <c r="L4" s="18">
        <v>1</v>
      </c>
      <c r="M4" s="3" t="s">
        <v>29</v>
      </c>
    </row>
    <row r="5" spans="1:13" ht="22.05" customHeight="1" x14ac:dyDescent="0.3">
      <c r="A5" s="6" t="s">
        <v>30</v>
      </c>
      <c r="B5" s="6" t="s">
        <v>31</v>
      </c>
      <c r="C5" s="7" t="s">
        <v>32</v>
      </c>
      <c r="D5" s="7" t="s">
        <v>33</v>
      </c>
      <c r="E5" s="13">
        <v>2680000</v>
      </c>
      <c r="F5" s="13">
        <v>1608000</v>
      </c>
      <c r="G5" s="13">
        <v>536000</v>
      </c>
      <c r="H5" s="12">
        <f t="shared" si="0"/>
        <v>0.6</v>
      </c>
      <c r="I5" s="15">
        <f t="shared" si="1"/>
        <v>536000</v>
      </c>
      <c r="J5" s="21">
        <f t="shared" si="2"/>
        <v>0.2</v>
      </c>
      <c r="K5" s="5" t="s">
        <v>17</v>
      </c>
      <c r="L5" s="12">
        <v>0.6</v>
      </c>
      <c r="M5" s="7" t="s">
        <v>34</v>
      </c>
    </row>
    <row r="6" spans="1:13" ht="22.05" customHeight="1" x14ac:dyDescent="0.3">
      <c r="A6" s="2" t="s">
        <v>35</v>
      </c>
      <c r="B6" s="2" t="s">
        <v>36</v>
      </c>
      <c r="C6" s="3" t="s">
        <v>37</v>
      </c>
      <c r="D6" s="3" t="s">
        <v>38</v>
      </c>
      <c r="E6" s="10">
        <v>580000</v>
      </c>
      <c r="F6" s="10">
        <v>203000</v>
      </c>
      <c r="G6" s="10">
        <v>145000</v>
      </c>
      <c r="H6" s="11">
        <f t="shared" si="0"/>
        <v>0.35</v>
      </c>
      <c r="I6" s="14">
        <f t="shared" si="1"/>
        <v>232000</v>
      </c>
      <c r="J6" s="20">
        <f t="shared" si="2"/>
        <v>0.4</v>
      </c>
      <c r="K6" s="5" t="s">
        <v>17</v>
      </c>
      <c r="L6" s="19">
        <v>0.35</v>
      </c>
      <c r="M6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pane ySplit="1" topLeftCell="A2" activePane="bottomLeft" state="frozen"/>
      <selection pane="bottomLeft" activeCell="G9" sqref="G9:G10"/>
    </sheetView>
  </sheetViews>
  <sheetFormatPr defaultRowHeight="14.4" x14ac:dyDescent="0.3"/>
  <cols>
    <col min="1" max="1" width="32" customWidth="1"/>
    <col min="2" max="2" width="10" customWidth="1"/>
    <col min="3" max="3" width="18" customWidth="1"/>
    <col min="4" max="4" width="16.77734375" customWidth="1"/>
    <col min="5" max="5" width="19.5546875" customWidth="1"/>
  </cols>
  <sheetData>
    <row r="1" spans="1:5" ht="28.05" customHeight="1" x14ac:dyDescent="0.3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ht="19.95" customHeight="1" x14ac:dyDescent="0.3">
      <c r="A2" s="23" t="s">
        <v>15</v>
      </c>
      <c r="B2" s="24" t="s">
        <v>44</v>
      </c>
      <c r="C2" s="25">
        <v>100000</v>
      </c>
      <c r="D2" s="25">
        <v>95000</v>
      </c>
      <c r="E2" s="4">
        <f>C2-D2</f>
        <v>5000</v>
      </c>
    </row>
    <row r="3" spans="1:5" ht="19.95" customHeight="1" x14ac:dyDescent="0.3">
      <c r="A3" s="7" t="s">
        <v>15</v>
      </c>
      <c r="B3" s="6" t="s">
        <v>45</v>
      </c>
      <c r="C3" s="25">
        <v>120000</v>
      </c>
      <c r="D3" s="25">
        <v>112000</v>
      </c>
      <c r="E3" s="8">
        <f t="shared" ref="E3:E31" si="0">C3-D3</f>
        <v>8000</v>
      </c>
    </row>
    <row r="4" spans="1:5" ht="19.95" customHeight="1" x14ac:dyDescent="0.3">
      <c r="A4" s="23" t="s">
        <v>15</v>
      </c>
      <c r="B4" s="24" t="s">
        <v>46</v>
      </c>
      <c r="C4" s="25">
        <v>140000</v>
      </c>
      <c r="D4" s="25">
        <v>134000</v>
      </c>
      <c r="E4" s="15">
        <f t="shared" si="0"/>
        <v>6000</v>
      </c>
    </row>
    <row r="5" spans="1:5" ht="19.95" customHeight="1" x14ac:dyDescent="0.3">
      <c r="A5" s="23" t="s">
        <v>15</v>
      </c>
      <c r="B5" s="24" t="s">
        <v>47</v>
      </c>
      <c r="C5" s="25">
        <v>155000</v>
      </c>
      <c r="D5" s="25">
        <v>148000</v>
      </c>
      <c r="E5" s="15">
        <f t="shared" si="0"/>
        <v>7000</v>
      </c>
    </row>
    <row r="6" spans="1:5" ht="19.95" customHeight="1" x14ac:dyDescent="0.3">
      <c r="A6" s="23" t="s">
        <v>15</v>
      </c>
      <c r="B6" s="24" t="s">
        <v>48</v>
      </c>
      <c r="C6" s="25">
        <v>180000</v>
      </c>
      <c r="D6" s="25">
        <v>175000</v>
      </c>
      <c r="E6" s="15">
        <f t="shared" si="0"/>
        <v>5000</v>
      </c>
    </row>
    <row r="7" spans="1:5" ht="19.95" customHeight="1" x14ac:dyDescent="0.3">
      <c r="A7" s="23" t="s">
        <v>15</v>
      </c>
      <c r="B7" s="24" t="s">
        <v>49</v>
      </c>
      <c r="C7" s="25">
        <v>220000</v>
      </c>
      <c r="D7" s="25">
        <v>212500</v>
      </c>
      <c r="E7" s="15">
        <f t="shared" si="0"/>
        <v>7500</v>
      </c>
    </row>
    <row r="8" spans="1:5" ht="19.95" customHeight="1" x14ac:dyDescent="0.3">
      <c r="A8" s="23" t="s">
        <v>21</v>
      </c>
      <c r="B8" s="24" t="s">
        <v>44</v>
      </c>
      <c r="C8" s="25">
        <v>590000</v>
      </c>
      <c r="D8" s="25">
        <v>580000</v>
      </c>
      <c r="E8" s="15">
        <f t="shared" si="0"/>
        <v>10000</v>
      </c>
    </row>
    <row r="9" spans="1:5" ht="19.95" customHeight="1" x14ac:dyDescent="0.3">
      <c r="A9" s="23" t="s">
        <v>21</v>
      </c>
      <c r="B9" s="24" t="s">
        <v>45</v>
      </c>
      <c r="C9" s="25">
        <v>620000</v>
      </c>
      <c r="D9" s="25">
        <v>612000</v>
      </c>
      <c r="E9" s="15">
        <f t="shared" si="0"/>
        <v>8000</v>
      </c>
    </row>
    <row r="10" spans="1:5" ht="19.95" customHeight="1" x14ac:dyDescent="0.3">
      <c r="A10" s="23" t="s">
        <v>21</v>
      </c>
      <c r="B10" s="24" t="s">
        <v>46</v>
      </c>
      <c r="C10" s="25">
        <v>660000</v>
      </c>
      <c r="D10" s="25">
        <v>648000</v>
      </c>
      <c r="E10" s="15">
        <f t="shared" si="0"/>
        <v>12000</v>
      </c>
    </row>
    <row r="11" spans="1:5" ht="19.95" customHeight="1" x14ac:dyDescent="0.3">
      <c r="A11" s="23" t="s">
        <v>21</v>
      </c>
      <c r="B11" s="24" t="s">
        <v>47</v>
      </c>
      <c r="C11" s="25">
        <v>600000</v>
      </c>
      <c r="D11" s="25">
        <v>591000</v>
      </c>
      <c r="E11" s="15">
        <f t="shared" si="0"/>
        <v>9000</v>
      </c>
    </row>
    <row r="12" spans="1:5" ht="19.95" customHeight="1" x14ac:dyDescent="0.3">
      <c r="A12" s="23" t="s">
        <v>21</v>
      </c>
      <c r="B12" s="24" t="s">
        <v>48</v>
      </c>
      <c r="C12" s="25">
        <v>730000</v>
      </c>
      <c r="D12" s="25">
        <v>720000</v>
      </c>
      <c r="E12" s="15">
        <f t="shared" si="0"/>
        <v>10000</v>
      </c>
    </row>
    <row r="13" spans="1:5" ht="19.95" customHeight="1" x14ac:dyDescent="0.3">
      <c r="A13" s="23" t="s">
        <v>21</v>
      </c>
      <c r="B13" s="24" t="s">
        <v>49</v>
      </c>
      <c r="C13" s="25">
        <v>650000</v>
      </c>
      <c r="D13" s="25">
        <v>640200</v>
      </c>
      <c r="E13" s="15">
        <f t="shared" si="0"/>
        <v>9800</v>
      </c>
    </row>
    <row r="14" spans="1:5" ht="19.95" customHeight="1" x14ac:dyDescent="0.3">
      <c r="A14" s="23" t="s">
        <v>26</v>
      </c>
      <c r="B14" s="24" t="s">
        <v>44</v>
      </c>
      <c r="C14" s="25">
        <v>130000</v>
      </c>
      <c r="D14" s="25">
        <v>145000</v>
      </c>
      <c r="E14" s="26">
        <f t="shared" si="0"/>
        <v>-15000</v>
      </c>
    </row>
    <row r="15" spans="1:5" ht="19.95" customHeight="1" x14ac:dyDescent="0.3">
      <c r="A15" s="23" t="s">
        <v>26</v>
      </c>
      <c r="B15" s="24" t="s">
        <v>45</v>
      </c>
      <c r="C15" s="25">
        <v>145000</v>
      </c>
      <c r="D15" s="25">
        <v>158000</v>
      </c>
      <c r="E15" s="26">
        <f t="shared" si="0"/>
        <v>-13000</v>
      </c>
    </row>
    <row r="16" spans="1:5" ht="19.95" customHeight="1" x14ac:dyDescent="0.3">
      <c r="A16" s="23" t="s">
        <v>26</v>
      </c>
      <c r="B16" s="24" t="s">
        <v>46</v>
      </c>
      <c r="C16" s="25">
        <v>150000</v>
      </c>
      <c r="D16" s="25">
        <v>162000</v>
      </c>
      <c r="E16" s="26">
        <f t="shared" si="0"/>
        <v>-12000</v>
      </c>
    </row>
    <row r="17" spans="1:5" ht="19.95" customHeight="1" x14ac:dyDescent="0.3">
      <c r="A17" s="23" t="s">
        <v>26</v>
      </c>
      <c r="B17" s="24" t="s">
        <v>47</v>
      </c>
      <c r="C17" s="25">
        <v>155000</v>
      </c>
      <c r="D17" s="25">
        <v>171000</v>
      </c>
      <c r="E17" s="26">
        <f t="shared" si="0"/>
        <v>-16000</v>
      </c>
    </row>
    <row r="18" spans="1:5" ht="19.95" customHeight="1" x14ac:dyDescent="0.3">
      <c r="A18" s="23" t="s">
        <v>26</v>
      </c>
      <c r="B18" s="24" t="s">
        <v>48</v>
      </c>
      <c r="C18" s="25">
        <v>145000</v>
      </c>
      <c r="D18" s="25">
        <v>155000</v>
      </c>
      <c r="E18" s="26">
        <f t="shared" si="0"/>
        <v>-10000</v>
      </c>
    </row>
    <row r="19" spans="1:5" ht="19.95" customHeight="1" x14ac:dyDescent="0.3">
      <c r="A19" s="23" t="s">
        <v>26</v>
      </c>
      <c r="B19" s="24" t="s">
        <v>49</v>
      </c>
      <c r="C19" s="25">
        <v>140000</v>
      </c>
      <c r="D19" s="25">
        <v>152600</v>
      </c>
      <c r="E19" s="26">
        <f t="shared" si="0"/>
        <v>-12600</v>
      </c>
    </row>
    <row r="20" spans="1:5" ht="19.95" customHeight="1" x14ac:dyDescent="0.3">
      <c r="A20" s="23" t="s">
        <v>32</v>
      </c>
      <c r="B20" s="24" t="s">
        <v>44</v>
      </c>
      <c r="C20" s="25">
        <v>220000</v>
      </c>
      <c r="D20" s="25">
        <v>212000</v>
      </c>
      <c r="E20" s="15">
        <f t="shared" si="0"/>
        <v>8000</v>
      </c>
    </row>
    <row r="21" spans="1:5" ht="19.95" customHeight="1" x14ac:dyDescent="0.3">
      <c r="A21" s="23" t="s">
        <v>32</v>
      </c>
      <c r="B21" s="24" t="s">
        <v>45</v>
      </c>
      <c r="C21" s="25">
        <v>260000</v>
      </c>
      <c r="D21" s="25">
        <v>248000</v>
      </c>
      <c r="E21" s="15">
        <f t="shared" si="0"/>
        <v>12000</v>
      </c>
    </row>
    <row r="22" spans="1:5" ht="19.95" customHeight="1" x14ac:dyDescent="0.3">
      <c r="A22" s="23" t="s">
        <v>32</v>
      </c>
      <c r="B22" s="24" t="s">
        <v>46</v>
      </c>
      <c r="C22" s="25">
        <v>290000</v>
      </c>
      <c r="D22" s="25">
        <v>287000</v>
      </c>
      <c r="E22" s="15">
        <f t="shared" si="0"/>
        <v>3000</v>
      </c>
    </row>
    <row r="23" spans="1:5" ht="19.95" customHeight="1" x14ac:dyDescent="0.3">
      <c r="A23" s="23" t="s">
        <v>32</v>
      </c>
      <c r="B23" s="24" t="s">
        <v>47</v>
      </c>
      <c r="C23" s="25">
        <v>280000</v>
      </c>
      <c r="D23" s="25">
        <v>275000</v>
      </c>
      <c r="E23" s="15">
        <f t="shared" si="0"/>
        <v>5000</v>
      </c>
    </row>
    <row r="24" spans="1:5" ht="19.95" customHeight="1" x14ac:dyDescent="0.3">
      <c r="A24" s="23" t="s">
        <v>32</v>
      </c>
      <c r="B24" s="24" t="s">
        <v>48</v>
      </c>
      <c r="C24" s="25">
        <v>300000</v>
      </c>
      <c r="D24" s="25">
        <v>298000</v>
      </c>
      <c r="E24" s="15">
        <f t="shared" si="0"/>
        <v>2000</v>
      </c>
    </row>
    <row r="25" spans="1:5" ht="19.95" customHeight="1" x14ac:dyDescent="0.3">
      <c r="A25" s="23" t="s">
        <v>32</v>
      </c>
      <c r="B25" s="24" t="s">
        <v>49</v>
      </c>
      <c r="C25" s="25">
        <v>290000</v>
      </c>
      <c r="D25" s="25">
        <v>288000</v>
      </c>
      <c r="E25" s="15">
        <f t="shared" si="0"/>
        <v>2000</v>
      </c>
    </row>
    <row r="26" spans="1:5" ht="19.95" customHeight="1" x14ac:dyDescent="0.3">
      <c r="A26" s="23" t="s">
        <v>37</v>
      </c>
      <c r="B26" s="24" t="s">
        <v>44</v>
      </c>
      <c r="C26" s="25">
        <v>20000</v>
      </c>
      <c r="D26" s="25">
        <v>18000</v>
      </c>
      <c r="E26" s="15">
        <f t="shared" si="0"/>
        <v>2000</v>
      </c>
    </row>
    <row r="27" spans="1:5" ht="19.95" customHeight="1" x14ac:dyDescent="0.3">
      <c r="A27" s="23" t="s">
        <v>37</v>
      </c>
      <c r="B27" s="24" t="s">
        <v>45</v>
      </c>
      <c r="C27" s="25">
        <v>25000</v>
      </c>
      <c r="D27" s="25">
        <v>22000</v>
      </c>
      <c r="E27" s="15">
        <f t="shared" si="0"/>
        <v>3000</v>
      </c>
    </row>
    <row r="28" spans="1:5" ht="19.95" customHeight="1" x14ac:dyDescent="0.3">
      <c r="A28" s="23" t="s">
        <v>37</v>
      </c>
      <c r="B28" s="24" t="s">
        <v>46</v>
      </c>
      <c r="C28" s="25">
        <v>38000</v>
      </c>
      <c r="D28" s="25">
        <v>35000</v>
      </c>
      <c r="E28" s="15">
        <f t="shared" si="0"/>
        <v>3000</v>
      </c>
    </row>
    <row r="29" spans="1:5" ht="19.95" customHeight="1" x14ac:dyDescent="0.3">
      <c r="A29" s="23" t="s">
        <v>37</v>
      </c>
      <c r="B29" s="24" t="s">
        <v>47</v>
      </c>
      <c r="C29" s="25">
        <v>52000</v>
      </c>
      <c r="D29" s="25">
        <v>48000</v>
      </c>
      <c r="E29" s="15">
        <f t="shared" si="0"/>
        <v>4000</v>
      </c>
    </row>
    <row r="30" spans="1:5" ht="19.95" customHeight="1" x14ac:dyDescent="0.3">
      <c r="A30" s="23" t="s">
        <v>37</v>
      </c>
      <c r="B30" s="24" t="s">
        <v>48</v>
      </c>
      <c r="C30" s="25">
        <v>45000</v>
      </c>
      <c r="D30" s="25">
        <v>42000</v>
      </c>
      <c r="E30" s="15">
        <f t="shared" si="0"/>
        <v>3000</v>
      </c>
    </row>
    <row r="31" spans="1:5" ht="19.95" customHeight="1" x14ac:dyDescent="0.3">
      <c r="A31" s="23" t="s">
        <v>37</v>
      </c>
      <c r="B31" s="24" t="s">
        <v>49</v>
      </c>
      <c r="C31" s="25">
        <v>40000</v>
      </c>
      <c r="D31" s="25">
        <v>38000</v>
      </c>
      <c r="E31" s="15">
        <f t="shared" si="0"/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Projects</vt:lpstr>
      <vt:lpstr>Monthly_Costs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Evtushenko</cp:lastModifiedBy>
  <dcterms:created xsi:type="dcterms:W3CDTF">2026-06-22T23:48:42Z</dcterms:created>
  <dcterms:modified xsi:type="dcterms:W3CDTF">2026-09-06T00:04:12Z</dcterms:modified>
</cp:coreProperties>
</file>