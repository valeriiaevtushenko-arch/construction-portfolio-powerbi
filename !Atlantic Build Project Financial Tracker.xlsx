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nst\Documents\Лера Курсы\Looking for a new job\Проект\готово\готово\"/>
    </mc:Choice>
  </mc:AlternateContent>
  <bookViews>
    <workbookView xWindow="0" yWindow="0" windowWidth="28800" windowHeight="13020" tabRatio="500"/>
  </bookViews>
  <sheets>
    <sheet name="Project Tracker" sheetId="1" r:id="rId1"/>
  </sheets>
  <calcPr calcId="162913" iterate="1" iterateDelta="1.0000000000000001E-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1" l="1"/>
  <c r="D13" i="1"/>
  <c r="G10" i="1"/>
  <c r="J13" i="1" s="1"/>
  <c r="E10" i="1"/>
  <c r="D10" i="1"/>
  <c r="C10" i="1"/>
  <c r="F9" i="1"/>
  <c r="F8" i="1"/>
  <c r="F7" i="1"/>
  <c r="F6" i="1"/>
  <c r="F5" i="1"/>
  <c r="F10" i="1" s="1"/>
  <c r="H13" i="1" s="1"/>
</calcChain>
</file>

<file path=xl/sharedStrings.xml><?xml version="1.0" encoding="utf-8"?>
<sst xmlns="http://schemas.openxmlformats.org/spreadsheetml/2006/main" count="32" uniqueCount="29">
  <si>
    <t>CONSTRUCTION PROJECT FINANCIAL TRACKER  —  Atlantic Build Corp.</t>
  </si>
  <si>
    <t>Multi-Province Portfolio  |  FY 2024–2025  |  All amounts in CAD</t>
  </si>
  <si>
    <t>Project_Name</t>
  </si>
  <si>
    <t>Province</t>
  </si>
  <si>
    <t>Contracted_Budget</t>
  </si>
  <si>
    <t>Actual_Costs</t>
  </si>
  <si>
    <t>Committed_Costs</t>
  </si>
  <si>
    <t>Variance_Amount</t>
  </si>
  <si>
    <t>Completion_Pct</t>
  </si>
  <si>
    <t>Status</t>
  </si>
  <si>
    <t>Northgate Community Centre</t>
  </si>
  <si>
    <t>BC</t>
  </si>
  <si>
    <t>In Progress</t>
  </si>
  <si>
    <t>Riverside Office Tower Fitup</t>
  </si>
  <si>
    <t>AB</t>
  </si>
  <si>
    <t>Lakeview Retail Plaza Reno</t>
  </si>
  <si>
    <t>ON</t>
  </si>
  <si>
    <t>Completed</t>
  </si>
  <si>
    <t>Harbour District Apartments</t>
  </si>
  <si>
    <t>NS</t>
  </si>
  <si>
    <t>Eastside Medical Clinic Fitup</t>
  </si>
  <si>
    <t>NB</t>
  </si>
  <si>
    <t>PORTFOLIO TOTALS</t>
  </si>
  <si>
    <t>PORTFOLIO SUMMARY</t>
  </si>
  <si>
    <t>Total Projects</t>
  </si>
  <si>
    <t>Portfolio Value</t>
  </si>
  <si>
    <t>Costs to Date</t>
  </si>
  <si>
    <t>Budget Remaining</t>
  </si>
  <si>
    <t>Avg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</si>
</sst>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\(#,##0\);\-"/>
    <numFmt numFmtId="165" formatCode="0.0%"/>
  </numFmts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Arial Narrow"/>
      <family val="2"/>
    </font>
    <font>
      <i/>
      <sz val="11"/>
      <color rgb="FF000000"/>
      <name val="Arial Narrow"/>
      <family val="2"/>
    </font>
    <font>
      <b/>
      <sz val="11"/>
      <color rgb="FF1F3864"/>
      <name val="Arial Narrow"/>
      <family val="2"/>
    </font>
    <font>
      <sz val="10"/>
      <color rgb="FF000000"/>
      <name val="Arial Narrow"/>
      <family val="2"/>
    </font>
    <font>
      <sz val="10"/>
      <color rgb="FF0000FF"/>
      <name val="Arial Narrow"/>
      <family val="2"/>
    </font>
    <font>
      <b/>
      <sz val="10"/>
      <color rgb="FF1F3864"/>
      <name val="Arial Narrow"/>
      <family val="2"/>
    </font>
    <font>
      <sz val="11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2"/>
      <color rgb="FF1F3864"/>
      <name val="Arial Narrow"/>
      <family val="2"/>
    </font>
    <font>
      <b/>
      <sz val="9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Border="1"/>
    <xf numFmtId="0" fontId="1" fillId="0" borderId="0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164" fontId="4" fillId="0" borderId="2" xfId="0" applyNumberFormat="1" applyFont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/>
    <xf numFmtId="164" fontId="8" fillId="0" borderId="1" xfId="0" applyNumberFormat="1" applyFont="1" applyBorder="1" applyAlignment="1">
      <alignment horizontal="right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165" fontId="3" fillId="0" borderId="0" xfId="0" applyNumberFormat="1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"/>
  <sheetViews>
    <sheetView showGridLines="0" tabSelected="1" zoomScaleNormal="100" workbookViewId="0">
      <pane ySplit="4" topLeftCell="A5" activePane="bottomLeft" state="frozen"/>
      <selection pane="bottomLeft" activeCell="H20" sqref="H20"/>
    </sheetView>
  </sheetViews>
  <sheetFormatPr defaultColWidth="8.6640625" defaultRowHeight="14.4" x14ac:dyDescent="0.3"/>
  <cols>
    <col min="1" max="1" width="28" customWidth="1"/>
    <col min="2" max="2" width="10" customWidth="1"/>
    <col min="3" max="3" width="16" customWidth="1"/>
    <col min="4" max="4" width="14" customWidth="1"/>
    <col min="5" max="5" width="15" customWidth="1"/>
    <col min="6" max="6" width="18.109375" customWidth="1"/>
    <col min="7" max="8" width="13" customWidth="1"/>
  </cols>
  <sheetData>
    <row r="1" spans="1:10" ht="18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10" x14ac:dyDescent="0.3">
      <c r="A2" s="1" t="s">
        <v>1</v>
      </c>
      <c r="B2" s="1"/>
      <c r="C2" s="1"/>
      <c r="D2" s="1"/>
      <c r="E2" s="1"/>
      <c r="F2" s="1"/>
      <c r="G2" s="1"/>
      <c r="H2" s="1"/>
    </row>
    <row r="4" spans="1:10" ht="27.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x14ac:dyDescent="0.3">
      <c r="A5" s="4" t="s">
        <v>10</v>
      </c>
      <c r="B5" s="5" t="s">
        <v>11</v>
      </c>
      <c r="C5" s="6">
        <v>1240000</v>
      </c>
      <c r="D5" s="6">
        <v>876500</v>
      </c>
      <c r="E5" s="6">
        <v>142000</v>
      </c>
      <c r="F5" s="7">
        <f>C5-D5-E5</f>
        <v>221500</v>
      </c>
      <c r="G5" s="8">
        <v>0.75</v>
      </c>
      <c r="H5" s="5" t="s">
        <v>12</v>
      </c>
    </row>
    <row r="6" spans="1:10" x14ac:dyDescent="0.3">
      <c r="A6" s="4" t="s">
        <v>13</v>
      </c>
      <c r="B6" s="5" t="s">
        <v>14</v>
      </c>
      <c r="C6" s="6">
        <v>3850000</v>
      </c>
      <c r="D6" s="6">
        <v>3791200</v>
      </c>
      <c r="E6" s="6">
        <v>42000</v>
      </c>
      <c r="F6" s="7">
        <f>C6-D6-E6</f>
        <v>16800</v>
      </c>
      <c r="G6" s="8">
        <v>0.98</v>
      </c>
      <c r="H6" s="5" t="s">
        <v>12</v>
      </c>
    </row>
    <row r="7" spans="1:10" x14ac:dyDescent="0.3">
      <c r="A7" s="4" t="s">
        <v>15</v>
      </c>
      <c r="B7" s="5" t="s">
        <v>16</v>
      </c>
      <c r="C7" s="6">
        <v>920000</v>
      </c>
      <c r="D7" s="6">
        <v>943600</v>
      </c>
      <c r="E7" s="6">
        <v>0</v>
      </c>
      <c r="F7" s="7">
        <f>C7-D7-E7</f>
        <v>-23600</v>
      </c>
      <c r="G7" s="8">
        <v>1</v>
      </c>
      <c r="H7" s="5" t="s">
        <v>17</v>
      </c>
    </row>
    <row r="8" spans="1:10" x14ac:dyDescent="0.3">
      <c r="A8" s="4" t="s">
        <v>18</v>
      </c>
      <c r="B8" s="5" t="s">
        <v>19</v>
      </c>
      <c r="C8" s="6">
        <v>2680000</v>
      </c>
      <c r="D8" s="6">
        <v>1608000</v>
      </c>
      <c r="E8" s="6">
        <v>536000</v>
      </c>
      <c r="F8" s="7">
        <f>C8-D8-E8</f>
        <v>536000</v>
      </c>
      <c r="G8" s="8">
        <v>0.6</v>
      </c>
      <c r="H8" s="5" t="s">
        <v>12</v>
      </c>
    </row>
    <row r="9" spans="1:10" x14ac:dyDescent="0.3">
      <c r="A9" s="4" t="s">
        <v>20</v>
      </c>
      <c r="B9" s="5" t="s">
        <v>21</v>
      </c>
      <c r="C9" s="6">
        <v>580000</v>
      </c>
      <c r="D9" s="6">
        <v>203000</v>
      </c>
      <c r="E9" s="6">
        <v>145000</v>
      </c>
      <c r="F9" s="7">
        <f>C9-D9-E9</f>
        <v>232000</v>
      </c>
      <c r="G9" s="8">
        <v>0.35</v>
      </c>
      <c r="H9" s="5" t="s">
        <v>12</v>
      </c>
    </row>
    <row r="10" spans="1:10" x14ac:dyDescent="0.3">
      <c r="A10" s="9" t="s">
        <v>22</v>
      </c>
      <c r="B10" s="10"/>
      <c r="C10" s="11">
        <f>SUM(C5:C9)</f>
        <v>9270000</v>
      </c>
      <c r="D10" s="11">
        <f>SUM(D5:D9)</f>
        <v>7422300</v>
      </c>
      <c r="E10" s="11">
        <f>SUM(E5:E9)</f>
        <v>865000</v>
      </c>
      <c r="F10" s="11">
        <f>SUM(F5:F9)</f>
        <v>982700</v>
      </c>
      <c r="G10" s="12">
        <f>AVERAGE(G5:G9)</f>
        <v>0.73599999999999999</v>
      </c>
      <c r="H10" s="10"/>
    </row>
    <row r="12" spans="1:10" ht="15.6" x14ac:dyDescent="0.3">
      <c r="A12" s="13" t="s">
        <v>23</v>
      </c>
    </row>
    <row r="13" spans="1:10" ht="26.4" x14ac:dyDescent="0.3">
      <c r="A13" s="14" t="s">
        <v>24</v>
      </c>
      <c r="B13" s="15">
        <v>5</v>
      </c>
      <c r="C13" s="14" t="s">
        <v>25</v>
      </c>
      <c r="D13" s="16">
        <f>C10</f>
        <v>9270000</v>
      </c>
      <c r="E13" s="14" t="s">
        <v>26</v>
      </c>
      <c r="F13" s="16">
        <f>D10</f>
        <v>7422300</v>
      </c>
      <c r="G13" s="14" t="s">
        <v>27</v>
      </c>
      <c r="H13" s="16">
        <f>F10</f>
        <v>982700</v>
      </c>
      <c r="I13" s="14" t="s">
        <v>28</v>
      </c>
      <c r="J13" s="17">
        <f>G10</f>
        <v>0.73599999999999999</v>
      </c>
    </row>
  </sheetData>
  <mergeCells count="2">
    <mergeCell ref="A1:H1"/>
    <mergeCell ref="A2:H2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Konstantin Evtushenko</cp:lastModifiedBy>
  <cp:revision>0</cp:revision>
  <dcterms:created xsi:type="dcterms:W3CDTF">2026-09-05T19:59:33Z</dcterms:created>
  <dcterms:modified xsi:type="dcterms:W3CDTF">2026-09-05T20:04:29Z</dcterms:modified>
  <dc:language>en-US</dc:language>
</cp:coreProperties>
</file>