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nst\Documents\Лера Курсы\Looking for a new job\Проект\"/>
    </mc:Choice>
  </mc:AlternateContent>
  <bookViews>
    <workbookView xWindow="0" yWindow="0" windowWidth="24756" windowHeight="13020"/>
  </bookViews>
  <sheets>
    <sheet name="Project Tracker" sheetId="1" r:id="rId1"/>
    <sheet name="Variance Analysis" sheetId="2" r:id="rId2"/>
    <sheet name="Budget vs Actual" sheetId="3" r:id="rId3"/>
    <sheet name="Notes &amp; Legend" sheetId="4" r:id="rId4"/>
  </sheets>
  <calcPr calcId="162913" iterate="1"/>
</workbook>
</file>

<file path=xl/calcChain.xml><?xml version="1.0" encoding="utf-8"?>
<calcChain xmlns="http://schemas.openxmlformats.org/spreadsheetml/2006/main">
  <c r="J15" i="1" l="1"/>
  <c r="H15" i="1"/>
  <c r="L12" i="1"/>
  <c r="I12" i="1"/>
  <c r="L15" i="1" s="1"/>
  <c r="G12" i="1"/>
  <c r="F12" i="1"/>
  <c r="E12" i="1"/>
  <c r="H12" i="1" s="1"/>
  <c r="J12" i="1" l="1"/>
</calcChain>
</file>

<file path=xl/sharedStrings.xml><?xml version="1.0" encoding="utf-8"?>
<sst xmlns="http://schemas.openxmlformats.org/spreadsheetml/2006/main" count="115" uniqueCount="98">
  <si>
    <t>CONSTRUCTION PROJECT FINANCIAL TRACKER  |  Atlantic Build Corp.</t>
  </si>
  <si>
    <t>Multi-Province Portfolio  |  FY 2024–2025  |  Finance Department  |  All amounts in CAD</t>
  </si>
  <si>
    <t>Job #</t>
  </si>
  <si>
    <t>Province</t>
  </si>
  <si>
    <t>Project Name</t>
  </si>
  <si>
    <t>Project Type</t>
  </si>
  <si>
    <t>Contracted
Budget ($)</t>
  </si>
  <si>
    <t>Actual Costs
To Date ($)</t>
  </si>
  <si>
    <t>Committed
Costs ($)</t>
  </si>
  <si>
    <t>Budget
Used (%)</t>
  </si>
  <si>
    <t>Variance
($)</t>
  </si>
  <si>
    <t>Variance
(%)</t>
  </si>
  <si>
    <t>Status</t>
  </si>
  <si>
    <t>Completion
(%)</t>
  </si>
  <si>
    <t>Notes</t>
  </si>
  <si>
    <t>BC-2401</t>
  </si>
  <si>
    <t>BC</t>
  </si>
  <si>
    <t>Northgate Community Centre</t>
  </si>
  <si>
    <t>Community Facility</t>
  </si>
  <si>
    <t>In Progress</t>
  </si>
  <si>
    <t>Structural phase complete; mechanical underway</t>
  </si>
  <si>
    <t>AB-2402</t>
  </si>
  <si>
    <t>AB</t>
  </si>
  <si>
    <t>Riverside Office Tower Fitup</t>
  </si>
  <si>
    <t>Commercial Fitup</t>
  </si>
  <si>
    <t>Deficiency list in progress; handover Q3</t>
  </si>
  <si>
    <t>ON-2403</t>
  </si>
  <si>
    <t>ON</t>
  </si>
  <si>
    <t>Lakeview Retail Plaza Reno</t>
  </si>
  <si>
    <t>Retail Renovation</t>
  </si>
  <si>
    <t>Completed</t>
  </si>
  <si>
    <t>Over budget; change orders approved by owner</t>
  </si>
  <si>
    <t>NS-2404</t>
  </si>
  <si>
    <t>NS</t>
  </si>
  <si>
    <t>Harbour District Apartments</t>
  </si>
  <si>
    <t>Multi-Unit Residential</t>
  </si>
  <si>
    <t>On schedule; envelope work ahead of plan</t>
  </si>
  <si>
    <t>NB-2405</t>
  </si>
  <si>
    <t>NB</t>
  </si>
  <si>
    <t>Eastside Medical Clinic Fitup</t>
  </si>
  <si>
    <t>Healthcare Fitup</t>
  </si>
  <si>
    <t>Permit delay resolved; back on track</t>
  </si>
  <si>
    <t>PORTFOLIO TOTALS</t>
  </si>
  <si>
    <t>PORTFOLIO SUMMARY</t>
  </si>
  <si>
    <t>Total Projects</t>
  </si>
  <si>
    <t>Active Projects</t>
  </si>
  <si>
    <t>Portfolio Value ($)</t>
  </si>
  <si>
    <t>Costs to Date ($)</t>
  </si>
  <si>
    <t>Budget Remaining ($)</t>
  </si>
  <si>
    <t>MONTHLY COST VARIANCE ANALYSIS — FY 2025</t>
  </si>
  <si>
    <t>Project</t>
  </si>
  <si>
    <t>Jan-25</t>
  </si>
  <si>
    <t>Feb-25</t>
  </si>
  <si>
    <t>Mar-25</t>
  </si>
  <si>
    <t>Apr-25</t>
  </si>
  <si>
    <t>May-25</t>
  </si>
  <si>
    <t>Jun-25</t>
  </si>
  <si>
    <t>BUDGET vs ACTUAL vs REMAINING — Project Summary</t>
  </si>
  <si>
    <t>Contracted Budget ($)</t>
  </si>
  <si>
    <t>Actual Costs ($)</t>
  </si>
  <si>
    <t>NOTES &amp; COLOR LEGEND</t>
  </si>
  <si>
    <t>SECTION</t>
  </si>
  <si>
    <t>DESCRIPTION</t>
  </si>
  <si>
    <t>Blue text</t>
  </si>
  <si>
    <t>Hardcoded input assumptions (user-editable)</t>
  </si>
  <si>
    <t>Black text</t>
  </si>
  <si>
    <t>Calculated formulas</t>
  </si>
  <si>
    <t>Green text / fill</t>
  </si>
  <si>
    <t>Positive variance — under budget / Completed</t>
  </si>
  <si>
    <t>Red text / fill</t>
  </si>
  <si>
    <t>Negative variance — over budget / At Risk</t>
  </si>
  <si>
    <t>Light blue fill</t>
  </si>
  <si>
    <t>In Progress status or high completion</t>
  </si>
  <si>
    <t>Amber fill</t>
  </si>
  <si>
    <t>Completion below 50% — monitor closely</t>
  </si>
  <si>
    <t>COLUMN DEFINITIONS</t>
  </si>
  <si>
    <t>Approved contract value including all change orders</t>
  </si>
  <si>
    <t>Actual Costs to Date ($)</t>
  </si>
  <si>
    <t>Invoiced and posted costs as of report date</t>
  </si>
  <si>
    <t>Committed Costs ($)</t>
  </si>
  <si>
    <t>Approved POs / subcontracts not yet invoiced</t>
  </si>
  <si>
    <t>Budget Used (%)</t>
  </si>
  <si>
    <t>Actual ÷ Budget — measures cost burn rate</t>
  </si>
  <si>
    <t>Variance ($)</t>
  </si>
  <si>
    <t>Budget minus Actual minus Committed</t>
  </si>
  <si>
    <t>Variance (%)</t>
  </si>
  <si>
    <t>Variance $ ÷ Budget</t>
  </si>
  <si>
    <t>Completion (%)</t>
  </si>
  <si>
    <t>Physical % complete as reported by PM</t>
  </si>
  <si>
    <t>PROJECT NOTES</t>
  </si>
  <si>
    <t>Data</t>
  </si>
  <si>
    <t>All project names and figures are illustrative</t>
  </si>
  <si>
    <t>Frequency</t>
  </si>
  <si>
    <t>Report updated monthly by Finance team</t>
  </si>
  <si>
    <t>Source</t>
  </si>
  <si>
    <t>Costs imported from accounting system (QuickBooks / Sage 50)</t>
  </si>
  <si>
    <t>Prepared by</t>
  </si>
  <si>
    <t>Finance Department — Atlantic Build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</si>
</sst>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;\(\$#,##0\);&quot;-&quot;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F3864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1E6B3C"/>
      <name val="Calibri"/>
    </font>
    <font>
      <b/>
      <sz val="10"/>
      <color rgb="FF2E5090"/>
      <name val="Calibri"/>
    </font>
    <font>
      <b/>
      <sz val="10"/>
      <color rgb="FF8B0000"/>
      <name val="Calibri"/>
    </font>
    <font>
      <b/>
      <sz val="12"/>
      <color rgb="FFFFFFFF"/>
      <name val="Calibri"/>
    </font>
    <font>
      <b/>
      <sz val="9"/>
      <color rgb="FF1F3864"/>
      <name val="Calibri"/>
    </font>
    <font>
      <b/>
      <sz val="11"/>
      <color rgb="FF1F3864"/>
      <name val="Calibri"/>
    </font>
    <font>
      <b/>
      <sz val="14"/>
      <color rgb="FFFFFFFF"/>
      <name val="Calibri"/>
    </font>
    <font>
      <b/>
      <sz val="10"/>
      <color rgb="FF1F3864"/>
      <name val="Calibri"/>
    </font>
    <font>
      <sz val="10"/>
      <color rgb="FF0000FF"/>
      <name val="Calibri"/>
    </font>
    <font>
      <b/>
      <sz val="13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5090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D6F0E0"/>
      </patternFill>
    </fill>
    <fill>
      <patternFill patternType="solid">
        <fgColor rgb="FFFFF3CD"/>
      </patternFill>
    </fill>
    <fill>
      <patternFill patternType="solid">
        <fgColor rgb="FFFDDED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2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Project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'Budget vs Actual'!$B$2</c:f>
              <c:strCache>
                <c:ptCount val="1"/>
                <c:pt idx="0">
                  <c:v>Contracted Budget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'Budget vs Actual'!$A$3:$A$7</c:f>
              <c:strCache>
                <c:ptCount val="5"/>
                <c:pt idx="0">
                  <c:v>Northgate Community Centre</c:v>
                </c:pt>
                <c:pt idx="1">
                  <c:v>Riverside Office Tower Fitup</c:v>
                </c:pt>
                <c:pt idx="2">
                  <c:v>Lakeview Retail Plaza Reno</c:v>
                </c:pt>
                <c:pt idx="3">
                  <c:v>Harbour District Apartments</c:v>
                </c:pt>
                <c:pt idx="4">
                  <c:v>Eastside Medical Clinic Fitup</c:v>
                </c:pt>
              </c:strCache>
            </c:strRef>
          </c:cat>
          <c:val>
            <c:numRef>
              <c:f>'Budget vs Actual'!$B$3:$B$7</c:f>
              <c:numCache>
                <c:formatCode>\$#,##0;\(\$#,##0\);"-"</c:formatCode>
                <c:ptCount val="5"/>
                <c:pt idx="0">
                  <c:v>1240000</c:v>
                </c:pt>
                <c:pt idx="1">
                  <c:v>3850000</c:v>
                </c:pt>
                <c:pt idx="2">
                  <c:v>920000</c:v>
                </c:pt>
                <c:pt idx="3">
                  <c:v>2680000</c:v>
                </c:pt>
                <c:pt idx="4">
                  <c:v>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A-4DF3-9691-00FC72598EA4}"/>
            </c:ext>
          </c:extLst>
        </c:ser>
        <c:ser>
          <c:idx val="1"/>
          <c:order val="1"/>
          <c:tx>
            <c:strRef>
              <c:f>'Budget vs Actual'!$C$2</c:f>
              <c:strCache>
                <c:ptCount val="1"/>
                <c:pt idx="0">
                  <c:v>Actual Costs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'Budget vs Actual'!$A$3:$A$7</c:f>
              <c:strCache>
                <c:ptCount val="5"/>
                <c:pt idx="0">
                  <c:v>Northgate Community Centre</c:v>
                </c:pt>
                <c:pt idx="1">
                  <c:v>Riverside Office Tower Fitup</c:v>
                </c:pt>
                <c:pt idx="2">
                  <c:v>Lakeview Retail Plaza Reno</c:v>
                </c:pt>
                <c:pt idx="3">
                  <c:v>Harbour District Apartments</c:v>
                </c:pt>
                <c:pt idx="4">
                  <c:v>Eastside Medical Clinic Fitup</c:v>
                </c:pt>
              </c:strCache>
            </c:strRef>
          </c:cat>
          <c:val>
            <c:numRef>
              <c:f>'Budget vs Actual'!$C$3:$C$7</c:f>
              <c:numCache>
                <c:formatCode>\$#,##0;\(\$#,##0\);"-"</c:formatCode>
                <c:ptCount val="5"/>
                <c:pt idx="0">
                  <c:v>876500</c:v>
                </c:pt>
                <c:pt idx="1">
                  <c:v>3791200</c:v>
                </c:pt>
                <c:pt idx="2">
                  <c:v>943600</c:v>
                </c:pt>
                <c:pt idx="3">
                  <c:v>1608000</c:v>
                </c:pt>
                <c:pt idx="4">
                  <c:v>203000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A-4DF3-9691-00FC72598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(CAD $)</a:t>
                </a:r>
              </a:p>
            </c:rich>
          </c:tx>
          <c:layout/>
          <c:overlay val="1"/>
        </c:title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864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E9" sqref="E9"/>
    </sheetView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20" customWidth="1"/>
    <col min="5" max="7" width="16" customWidth="1"/>
    <col min="8" max="8" width="13" customWidth="1"/>
    <col min="9" max="9" width="14" customWidth="1"/>
    <col min="10" max="10" width="13" customWidth="1"/>
    <col min="11" max="12" width="14" customWidth="1"/>
    <col min="13" max="13" width="47.21875" customWidth="1"/>
  </cols>
  <sheetData>
    <row r="2" spans="1:13" ht="36" customHeight="1" x14ac:dyDescent="0.3">
      <c r="A2" s="40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3.05" customHeight="1" x14ac:dyDescent="0.3"/>
    <row r="4" spans="1:13" ht="30" customHeight="1" x14ac:dyDescent="0.3">
      <c r="A4" s="36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ht="13.05" customHeight="1" x14ac:dyDescent="0.3"/>
    <row r="6" spans="1:13" ht="36" customHeigh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</row>
    <row r="7" spans="1:13" ht="22.05" customHeight="1" x14ac:dyDescent="0.3">
      <c r="A7" s="2" t="s">
        <v>15</v>
      </c>
      <c r="B7" s="2" t="s">
        <v>16</v>
      </c>
      <c r="C7" s="3" t="s">
        <v>17</v>
      </c>
      <c r="D7" s="3" t="s">
        <v>18</v>
      </c>
      <c r="E7" s="4">
        <v>1240000</v>
      </c>
      <c r="F7" s="4">
        <v>876500</v>
      </c>
      <c r="G7" s="4">
        <v>142000</v>
      </c>
      <c r="H7" s="5">
        <v>0.70685483870967747</v>
      </c>
      <c r="I7" s="6">
        <v>221500</v>
      </c>
      <c r="J7" s="7">
        <v>0.17862903225806451</v>
      </c>
      <c r="K7" s="8" t="s">
        <v>19</v>
      </c>
      <c r="L7" s="9">
        <v>0.75</v>
      </c>
      <c r="M7" s="3" t="s">
        <v>20</v>
      </c>
    </row>
    <row r="8" spans="1:13" ht="22.05" customHeight="1" x14ac:dyDescent="0.3">
      <c r="A8" s="10" t="s">
        <v>21</v>
      </c>
      <c r="B8" s="10" t="s">
        <v>22</v>
      </c>
      <c r="C8" s="11" t="s">
        <v>23</v>
      </c>
      <c r="D8" s="11" t="s">
        <v>24</v>
      </c>
      <c r="E8" s="12">
        <v>10850000</v>
      </c>
      <c r="F8" s="12">
        <v>3791200</v>
      </c>
      <c r="G8" s="12">
        <v>42000</v>
      </c>
      <c r="H8" s="13">
        <v>0.98472727272727267</v>
      </c>
      <c r="I8" s="14">
        <v>16800</v>
      </c>
      <c r="J8" s="15">
        <v>4.3636363636363638E-3</v>
      </c>
      <c r="K8" s="8" t="s">
        <v>19</v>
      </c>
      <c r="L8" s="9">
        <v>0.98</v>
      </c>
      <c r="M8" s="11" t="s">
        <v>25</v>
      </c>
    </row>
    <row r="9" spans="1:13" ht="22.05" customHeight="1" x14ac:dyDescent="0.3">
      <c r="A9" s="2" t="s">
        <v>26</v>
      </c>
      <c r="B9" s="2" t="s">
        <v>27</v>
      </c>
      <c r="C9" s="3" t="s">
        <v>28</v>
      </c>
      <c r="D9" s="3" t="s">
        <v>29</v>
      </c>
      <c r="E9" s="4">
        <v>920000</v>
      </c>
      <c r="F9" s="4">
        <v>943600</v>
      </c>
      <c r="G9" s="4">
        <v>0</v>
      </c>
      <c r="H9" s="5">
        <v>1.025652173913044</v>
      </c>
      <c r="I9" s="16">
        <v>-23600</v>
      </c>
      <c r="J9" s="17">
        <v>-2.5652173913043481E-2</v>
      </c>
      <c r="K9" s="18" t="s">
        <v>30</v>
      </c>
      <c r="L9" s="19">
        <v>1</v>
      </c>
      <c r="M9" s="3" t="s">
        <v>31</v>
      </c>
    </row>
    <row r="10" spans="1:13" ht="22.05" customHeight="1" x14ac:dyDescent="0.3">
      <c r="A10" s="10" t="s">
        <v>32</v>
      </c>
      <c r="B10" s="10" t="s">
        <v>33</v>
      </c>
      <c r="C10" s="11" t="s">
        <v>34</v>
      </c>
      <c r="D10" s="11" t="s">
        <v>35</v>
      </c>
      <c r="E10" s="12">
        <v>2680000</v>
      </c>
      <c r="F10" s="12">
        <v>1608000</v>
      </c>
      <c r="G10" s="12">
        <v>536000</v>
      </c>
      <c r="H10" s="13">
        <v>0.6</v>
      </c>
      <c r="I10" s="14">
        <v>536000</v>
      </c>
      <c r="J10" s="15">
        <v>0.2</v>
      </c>
      <c r="K10" s="8" t="s">
        <v>19</v>
      </c>
      <c r="L10" s="13">
        <v>0.6</v>
      </c>
      <c r="M10" s="11" t="s">
        <v>36</v>
      </c>
    </row>
    <row r="11" spans="1:13" ht="22.05" customHeight="1" x14ac:dyDescent="0.3">
      <c r="A11" s="2" t="s">
        <v>37</v>
      </c>
      <c r="B11" s="2" t="s">
        <v>38</v>
      </c>
      <c r="C11" s="3" t="s">
        <v>39</v>
      </c>
      <c r="D11" s="3" t="s">
        <v>40</v>
      </c>
      <c r="E11" s="4">
        <v>580000</v>
      </c>
      <c r="F11" s="4">
        <v>203000</v>
      </c>
      <c r="G11" s="4">
        <v>145000</v>
      </c>
      <c r="H11" s="5">
        <v>0.35</v>
      </c>
      <c r="I11" s="6">
        <v>232000</v>
      </c>
      <c r="J11" s="7">
        <v>0.4</v>
      </c>
      <c r="K11" s="8" t="s">
        <v>19</v>
      </c>
      <c r="L11" s="20">
        <v>0.35</v>
      </c>
      <c r="M11" s="3" t="s">
        <v>41</v>
      </c>
    </row>
    <row r="12" spans="1:13" ht="22.05" customHeight="1" x14ac:dyDescent="0.3">
      <c r="A12" s="38" t="s">
        <v>42</v>
      </c>
      <c r="B12" s="39"/>
      <c r="C12" s="39"/>
      <c r="D12" s="39"/>
      <c r="E12" s="22">
        <f>SUM(E7:E11)</f>
        <v>16270000</v>
      </c>
      <c r="F12" s="22">
        <f>SUM(F7:F11)</f>
        <v>7422300</v>
      </c>
      <c r="G12" s="22">
        <f>SUM(G7:G11)</f>
        <v>865000</v>
      </c>
      <c r="H12" s="23">
        <f>F12/E12</f>
        <v>0.45619545175169024</v>
      </c>
      <c r="I12" s="22">
        <f>SUM(I7:I11)</f>
        <v>982700</v>
      </c>
      <c r="J12" s="23">
        <f>I12/E12</f>
        <v>6.0399508297480024E-2</v>
      </c>
      <c r="K12" s="21"/>
      <c r="L12" s="23">
        <f>AVERAGE(L7:L11)</f>
        <v>0.73599999999999999</v>
      </c>
      <c r="M12" s="21"/>
    </row>
    <row r="14" spans="1:13" ht="19.95" customHeight="1" x14ac:dyDescent="0.3">
      <c r="A14" s="41" t="s">
        <v>43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3" ht="22.05" customHeight="1" x14ac:dyDescent="0.3">
      <c r="A15" s="24" t="s">
        <v>44</v>
      </c>
      <c r="B15" s="25">
        <v>5</v>
      </c>
      <c r="C15" s="24" t="s">
        <v>45</v>
      </c>
      <c r="D15" s="25">
        <v>4</v>
      </c>
      <c r="E15" s="24" t="s">
        <v>30</v>
      </c>
      <c r="F15" s="25">
        <v>1</v>
      </c>
      <c r="G15" s="24" t="s">
        <v>46</v>
      </c>
      <c r="H15" s="26">
        <f>E12</f>
        <v>16270000</v>
      </c>
      <c r="I15" s="24" t="s">
        <v>47</v>
      </c>
      <c r="J15" s="26">
        <f>F12</f>
        <v>7422300</v>
      </c>
      <c r="K15" s="24" t="s">
        <v>48</v>
      </c>
      <c r="L15" s="26">
        <f>I12</f>
        <v>982700</v>
      </c>
    </row>
    <row r="17" spans="6:6" x14ac:dyDescent="0.3">
      <c r="F17" s="49"/>
    </row>
  </sheetData>
  <mergeCells count="4">
    <mergeCell ref="A4:M4"/>
    <mergeCell ref="A12:D12"/>
    <mergeCell ref="A2:M2"/>
    <mergeCell ref="A14:M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B12" sqref="B12"/>
    </sheetView>
  </sheetViews>
  <sheetFormatPr defaultRowHeight="14.4" x14ac:dyDescent="0.3"/>
  <cols>
    <col min="1" max="1" width="30" customWidth="1"/>
    <col min="2" max="7" width="16" customWidth="1"/>
  </cols>
  <sheetData>
    <row r="1" spans="1:7" ht="31.95" customHeight="1" x14ac:dyDescent="0.3">
      <c r="A1" s="44" t="s">
        <v>49</v>
      </c>
      <c r="B1" s="37"/>
      <c r="C1" s="37"/>
      <c r="D1" s="37"/>
      <c r="E1" s="37"/>
      <c r="F1" s="37"/>
      <c r="G1" s="37"/>
    </row>
    <row r="2" spans="1:7" ht="22.05" customHeight="1" x14ac:dyDescent="0.3">
      <c r="A2" s="47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</row>
    <row r="3" spans="1:7" x14ac:dyDescent="0.3">
      <c r="A3" s="37"/>
    </row>
    <row r="4" spans="1:7" ht="18" customHeight="1" x14ac:dyDescent="0.3">
      <c r="A4" s="45" t="s">
        <v>17</v>
      </c>
      <c r="B4" s="27">
        <v>100000</v>
      </c>
      <c r="C4" s="27">
        <v>120000</v>
      </c>
      <c r="D4" s="27">
        <v>140000</v>
      </c>
      <c r="E4" s="27">
        <v>155000</v>
      </c>
      <c r="F4" s="27">
        <v>180000</v>
      </c>
      <c r="G4" s="27">
        <v>220000</v>
      </c>
    </row>
    <row r="5" spans="1:7" ht="18" customHeight="1" x14ac:dyDescent="0.3">
      <c r="A5" s="46"/>
      <c r="B5" s="28">
        <v>95000</v>
      </c>
      <c r="C5" s="28">
        <v>112000</v>
      </c>
      <c r="D5" s="28">
        <v>134000</v>
      </c>
      <c r="E5" s="28">
        <v>148000</v>
      </c>
      <c r="F5" s="28">
        <v>175000</v>
      </c>
      <c r="G5" s="28">
        <v>212500</v>
      </c>
    </row>
    <row r="6" spans="1:7" ht="18" customHeight="1" x14ac:dyDescent="0.3">
      <c r="A6" s="46"/>
      <c r="B6" s="29">
        <v>5000</v>
      </c>
      <c r="C6" s="29">
        <v>8000</v>
      </c>
      <c r="D6" s="29">
        <v>6000</v>
      </c>
      <c r="E6" s="29">
        <v>7000</v>
      </c>
      <c r="F6" s="29">
        <v>5000</v>
      </c>
      <c r="G6" s="29">
        <v>7500</v>
      </c>
    </row>
    <row r="7" spans="1:7" ht="18" customHeight="1" x14ac:dyDescent="0.3">
      <c r="A7" s="42" t="s">
        <v>23</v>
      </c>
      <c r="B7" s="27">
        <v>590000</v>
      </c>
      <c r="C7" s="27">
        <v>620000</v>
      </c>
      <c r="D7" s="27">
        <v>660000</v>
      </c>
      <c r="E7" s="27">
        <v>600000</v>
      </c>
      <c r="F7" s="27">
        <v>730000</v>
      </c>
      <c r="G7" s="27">
        <v>650000</v>
      </c>
    </row>
    <row r="8" spans="1:7" ht="18" customHeight="1" x14ac:dyDescent="0.3">
      <c r="A8" s="43"/>
      <c r="B8" s="28">
        <v>580000</v>
      </c>
      <c r="C8" s="28">
        <v>612000</v>
      </c>
      <c r="D8" s="28">
        <v>648000</v>
      </c>
      <c r="E8" s="28">
        <v>591000</v>
      </c>
      <c r="F8" s="28">
        <v>720000</v>
      </c>
      <c r="G8" s="28">
        <v>640200</v>
      </c>
    </row>
    <row r="9" spans="1:7" ht="18" customHeight="1" x14ac:dyDescent="0.3">
      <c r="A9" s="43"/>
      <c r="B9" s="29">
        <v>10000</v>
      </c>
      <c r="C9" s="29">
        <v>8000</v>
      </c>
      <c r="D9" s="29">
        <v>12000</v>
      </c>
      <c r="E9" s="29">
        <v>9000</v>
      </c>
      <c r="F9" s="29">
        <v>10000</v>
      </c>
      <c r="G9" s="29">
        <v>9800</v>
      </c>
    </row>
    <row r="10" spans="1:7" ht="18" customHeight="1" x14ac:dyDescent="0.3">
      <c r="A10" s="45" t="s">
        <v>28</v>
      </c>
      <c r="B10" s="27">
        <v>130000</v>
      </c>
      <c r="C10" s="27">
        <v>145000</v>
      </c>
      <c r="D10" s="27">
        <v>150000</v>
      </c>
      <c r="E10" s="27">
        <v>155000</v>
      </c>
      <c r="F10" s="27">
        <v>145000</v>
      </c>
      <c r="G10" s="27">
        <v>140000</v>
      </c>
    </row>
    <row r="11" spans="1:7" ht="18" customHeight="1" x14ac:dyDescent="0.3">
      <c r="A11" s="46"/>
      <c r="B11" s="28">
        <v>145000</v>
      </c>
      <c r="C11" s="28">
        <v>158000</v>
      </c>
      <c r="D11" s="28">
        <v>162000</v>
      </c>
      <c r="E11" s="28">
        <v>171000</v>
      </c>
      <c r="F11" s="28">
        <v>155000</v>
      </c>
      <c r="G11" s="28">
        <v>152600</v>
      </c>
    </row>
    <row r="12" spans="1:7" ht="18" customHeight="1" x14ac:dyDescent="0.3">
      <c r="A12" s="46"/>
      <c r="B12" s="30">
        <v>-15000</v>
      </c>
      <c r="C12" s="30">
        <v>-13000</v>
      </c>
      <c r="D12" s="30">
        <v>-12000</v>
      </c>
      <c r="E12" s="30">
        <v>-16000</v>
      </c>
      <c r="F12" s="30">
        <v>-10000</v>
      </c>
      <c r="G12" s="30">
        <v>-12600</v>
      </c>
    </row>
    <row r="13" spans="1:7" ht="18" customHeight="1" x14ac:dyDescent="0.3">
      <c r="A13" s="42" t="s">
        <v>34</v>
      </c>
      <c r="B13" s="27">
        <v>220000</v>
      </c>
      <c r="C13" s="27">
        <v>260000</v>
      </c>
      <c r="D13" s="27">
        <v>290000</v>
      </c>
      <c r="E13" s="27">
        <v>280000</v>
      </c>
      <c r="F13" s="27">
        <v>300000</v>
      </c>
      <c r="G13" s="27">
        <v>290000</v>
      </c>
    </row>
    <row r="14" spans="1:7" ht="18" customHeight="1" x14ac:dyDescent="0.3">
      <c r="A14" s="43"/>
      <c r="B14" s="28">
        <v>212000</v>
      </c>
      <c r="C14" s="28">
        <v>248000</v>
      </c>
      <c r="D14" s="28">
        <v>287000</v>
      </c>
      <c r="E14" s="28">
        <v>275000</v>
      </c>
      <c r="F14" s="28">
        <v>298000</v>
      </c>
      <c r="G14" s="28">
        <v>288000</v>
      </c>
    </row>
    <row r="15" spans="1:7" ht="18" customHeight="1" x14ac:dyDescent="0.3">
      <c r="A15" s="43"/>
      <c r="B15" s="29">
        <v>8000</v>
      </c>
      <c r="C15" s="29">
        <v>12000</v>
      </c>
      <c r="D15" s="29">
        <v>3000</v>
      </c>
      <c r="E15" s="29">
        <v>5000</v>
      </c>
      <c r="F15" s="29">
        <v>2000</v>
      </c>
      <c r="G15" s="29">
        <v>2000</v>
      </c>
    </row>
    <row r="16" spans="1:7" ht="18" customHeight="1" x14ac:dyDescent="0.3">
      <c r="A16" s="45" t="s">
        <v>39</v>
      </c>
      <c r="B16" s="27">
        <v>20000</v>
      </c>
      <c r="C16" s="27">
        <v>25000</v>
      </c>
      <c r="D16" s="27">
        <v>38000</v>
      </c>
      <c r="E16" s="27">
        <v>52000</v>
      </c>
      <c r="F16" s="27">
        <v>45000</v>
      </c>
      <c r="G16" s="27">
        <v>40000</v>
      </c>
    </row>
    <row r="17" spans="1:7" ht="18" customHeight="1" x14ac:dyDescent="0.3">
      <c r="A17" s="46"/>
      <c r="B17" s="28">
        <v>18000</v>
      </c>
      <c r="C17" s="28">
        <v>22000</v>
      </c>
      <c r="D17" s="28">
        <v>35000</v>
      </c>
      <c r="E17" s="28">
        <v>48000</v>
      </c>
      <c r="F17" s="28">
        <v>42000</v>
      </c>
      <c r="G17" s="28">
        <v>38000</v>
      </c>
    </row>
    <row r="18" spans="1:7" ht="18" customHeight="1" x14ac:dyDescent="0.3">
      <c r="A18" s="46"/>
      <c r="B18" s="29">
        <v>2000</v>
      </c>
      <c r="C18" s="29">
        <v>3000</v>
      </c>
      <c r="D18" s="29">
        <v>3000</v>
      </c>
      <c r="E18" s="29">
        <v>4000</v>
      </c>
      <c r="F18" s="29">
        <v>3000</v>
      </c>
      <c r="G18" s="29">
        <v>2000</v>
      </c>
    </row>
  </sheetData>
  <mergeCells count="7">
    <mergeCell ref="A7:A9"/>
    <mergeCell ref="A1:G1"/>
    <mergeCell ref="A4:A6"/>
    <mergeCell ref="A16:A18"/>
    <mergeCell ref="A10:A12"/>
    <mergeCell ref="A2:A3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3" sqref="B3"/>
    </sheetView>
  </sheetViews>
  <sheetFormatPr defaultRowHeight="14.4" x14ac:dyDescent="0.3"/>
  <cols>
    <col min="1" max="1" width="32" customWidth="1"/>
    <col min="2" max="4" width="20" customWidth="1"/>
  </cols>
  <sheetData>
    <row r="1" spans="1:4" ht="30" customHeight="1" x14ac:dyDescent="0.3">
      <c r="A1" s="48" t="s">
        <v>57</v>
      </c>
      <c r="B1" s="37"/>
      <c r="C1" s="37"/>
      <c r="D1" s="37"/>
    </row>
    <row r="2" spans="1:4" ht="24" customHeight="1" x14ac:dyDescent="0.3">
      <c r="A2" s="1" t="s">
        <v>50</v>
      </c>
      <c r="B2" s="1" t="s">
        <v>58</v>
      </c>
      <c r="C2" s="1" t="s">
        <v>59</v>
      </c>
      <c r="D2" s="1" t="s">
        <v>48</v>
      </c>
    </row>
    <row r="3" spans="1:4" ht="19.95" customHeight="1" x14ac:dyDescent="0.3">
      <c r="A3" s="11" t="s">
        <v>17</v>
      </c>
      <c r="B3" s="31">
        <v>1240000</v>
      </c>
      <c r="C3" s="31">
        <v>876500</v>
      </c>
      <c r="D3" s="31">
        <v>221500</v>
      </c>
    </row>
    <row r="4" spans="1:4" ht="19.95" customHeight="1" x14ac:dyDescent="0.3">
      <c r="A4" s="3" t="s">
        <v>23</v>
      </c>
      <c r="B4" s="32">
        <v>3850000</v>
      </c>
      <c r="C4" s="32">
        <v>3791200</v>
      </c>
      <c r="D4" s="32">
        <v>16800</v>
      </c>
    </row>
    <row r="5" spans="1:4" ht="19.95" customHeight="1" x14ac:dyDescent="0.3">
      <c r="A5" s="11" t="s">
        <v>28</v>
      </c>
      <c r="B5" s="31">
        <v>920000</v>
      </c>
      <c r="C5" s="31">
        <v>943600</v>
      </c>
      <c r="D5" s="31">
        <v>23600</v>
      </c>
    </row>
    <row r="6" spans="1:4" ht="19.95" customHeight="1" x14ac:dyDescent="0.3">
      <c r="A6" s="3" t="s">
        <v>34</v>
      </c>
      <c r="B6" s="32">
        <v>2680000</v>
      </c>
      <c r="C6" s="32">
        <v>1608000</v>
      </c>
      <c r="D6" s="32">
        <v>536000</v>
      </c>
    </row>
    <row r="7" spans="1:4" ht="19.95" customHeight="1" x14ac:dyDescent="0.3">
      <c r="A7" s="11" t="s">
        <v>39</v>
      </c>
      <c r="B7" s="31">
        <v>580000</v>
      </c>
      <c r="C7" s="31">
        <v>203000</v>
      </c>
      <c r="D7" s="31">
        <v>232000</v>
      </c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3" sqref="B3"/>
    </sheetView>
  </sheetViews>
  <sheetFormatPr defaultRowHeight="14.4" x14ac:dyDescent="0.3"/>
  <cols>
    <col min="1" max="1" width="32" customWidth="1"/>
    <col min="2" max="2" width="55" customWidth="1"/>
  </cols>
  <sheetData>
    <row r="1" spans="1:2" ht="30" customHeight="1" x14ac:dyDescent="0.3">
      <c r="A1" s="48" t="s">
        <v>60</v>
      </c>
      <c r="B1" s="37"/>
    </row>
    <row r="2" spans="1:2" ht="19.95" customHeight="1" x14ac:dyDescent="0.3">
      <c r="A2" s="33" t="s">
        <v>61</v>
      </c>
      <c r="B2" s="33" t="s">
        <v>62</v>
      </c>
    </row>
    <row r="3" spans="1:2" ht="19.95" customHeight="1" x14ac:dyDescent="0.3">
      <c r="A3" s="34" t="s">
        <v>63</v>
      </c>
      <c r="B3" s="11" t="s">
        <v>64</v>
      </c>
    </row>
    <row r="4" spans="1:2" ht="19.95" customHeight="1" x14ac:dyDescent="0.3">
      <c r="A4" s="35" t="s">
        <v>65</v>
      </c>
      <c r="B4" s="3" t="s">
        <v>66</v>
      </c>
    </row>
    <row r="5" spans="1:2" ht="19.95" customHeight="1" x14ac:dyDescent="0.3">
      <c r="A5" s="34" t="s">
        <v>67</v>
      </c>
      <c r="B5" s="11" t="s">
        <v>68</v>
      </c>
    </row>
    <row r="6" spans="1:2" ht="19.95" customHeight="1" x14ac:dyDescent="0.3">
      <c r="A6" s="35" t="s">
        <v>69</v>
      </c>
      <c r="B6" s="3" t="s">
        <v>70</v>
      </c>
    </row>
    <row r="7" spans="1:2" ht="19.95" customHeight="1" x14ac:dyDescent="0.3">
      <c r="A7" s="34" t="s">
        <v>71</v>
      </c>
      <c r="B7" s="11" t="s">
        <v>72</v>
      </c>
    </row>
    <row r="8" spans="1:2" ht="19.95" customHeight="1" x14ac:dyDescent="0.3">
      <c r="A8" s="35" t="s">
        <v>73</v>
      </c>
      <c r="B8" s="3" t="s">
        <v>74</v>
      </c>
    </row>
    <row r="9" spans="1:2" ht="19.95" customHeight="1" x14ac:dyDescent="0.3">
      <c r="A9" s="34"/>
      <c r="B9" s="11"/>
    </row>
    <row r="10" spans="1:2" ht="19.95" customHeight="1" x14ac:dyDescent="0.3">
      <c r="A10" s="33" t="s">
        <v>75</v>
      </c>
      <c r="B10" s="33"/>
    </row>
    <row r="11" spans="1:2" ht="19.95" customHeight="1" x14ac:dyDescent="0.3">
      <c r="A11" s="34" t="s">
        <v>58</v>
      </c>
      <c r="B11" s="11" t="s">
        <v>76</v>
      </c>
    </row>
    <row r="12" spans="1:2" ht="19.95" customHeight="1" x14ac:dyDescent="0.3">
      <c r="A12" s="35" t="s">
        <v>77</v>
      </c>
      <c r="B12" s="3" t="s">
        <v>78</v>
      </c>
    </row>
    <row r="13" spans="1:2" ht="19.95" customHeight="1" x14ac:dyDescent="0.3">
      <c r="A13" s="34" t="s">
        <v>79</v>
      </c>
      <c r="B13" s="11" t="s">
        <v>80</v>
      </c>
    </row>
    <row r="14" spans="1:2" ht="19.95" customHeight="1" x14ac:dyDescent="0.3">
      <c r="A14" s="35" t="s">
        <v>81</v>
      </c>
      <c r="B14" s="3" t="s">
        <v>82</v>
      </c>
    </row>
    <row r="15" spans="1:2" ht="19.95" customHeight="1" x14ac:dyDescent="0.3">
      <c r="A15" s="34" t="s">
        <v>83</v>
      </c>
      <c r="B15" s="11" t="s">
        <v>84</v>
      </c>
    </row>
    <row r="16" spans="1:2" ht="19.95" customHeight="1" x14ac:dyDescent="0.3">
      <c r="A16" s="35" t="s">
        <v>85</v>
      </c>
      <c r="B16" s="3" t="s">
        <v>86</v>
      </c>
    </row>
    <row r="17" spans="1:2" ht="19.95" customHeight="1" x14ac:dyDescent="0.3">
      <c r="A17" s="34" t="s">
        <v>87</v>
      </c>
      <c r="B17" s="11" t="s">
        <v>88</v>
      </c>
    </row>
    <row r="18" spans="1:2" ht="19.95" customHeight="1" x14ac:dyDescent="0.3">
      <c r="A18" s="35"/>
      <c r="B18" s="3"/>
    </row>
    <row r="19" spans="1:2" ht="19.95" customHeight="1" x14ac:dyDescent="0.3">
      <c r="A19" s="33" t="s">
        <v>89</v>
      </c>
      <c r="B19" s="33"/>
    </row>
    <row r="20" spans="1:2" ht="19.95" customHeight="1" x14ac:dyDescent="0.3">
      <c r="A20" s="35" t="s">
        <v>90</v>
      </c>
      <c r="B20" s="3" t="s">
        <v>91</v>
      </c>
    </row>
    <row r="21" spans="1:2" ht="19.95" customHeight="1" x14ac:dyDescent="0.3">
      <c r="A21" s="34" t="s">
        <v>92</v>
      </c>
      <c r="B21" s="11" t="s">
        <v>93</v>
      </c>
    </row>
    <row r="22" spans="1:2" ht="19.95" customHeight="1" x14ac:dyDescent="0.3">
      <c r="A22" s="35" t="s">
        <v>94</v>
      </c>
      <c r="B22" s="3" t="s">
        <v>95</v>
      </c>
    </row>
    <row r="23" spans="1:2" ht="19.95" customHeight="1" x14ac:dyDescent="0.3">
      <c r="A23" s="34" t="s">
        <v>96</v>
      </c>
      <c r="B23" s="11" t="s">
        <v>97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Project Tracker</vt:lpstr>
      <vt:lpstr>Variance Analysis</vt:lpstr>
      <vt:lpstr>Budget vs Actual</vt:lpstr>
      <vt:lpstr>Notes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Evtushenko</cp:lastModifiedBy>
  <dcterms:created xsi:type="dcterms:W3CDTF">2026-06-22T23:14:15Z</dcterms:created>
  <dcterms:modified xsi:type="dcterms:W3CDTF">2026-06-23T01:19:35Z</dcterms:modified>
</cp:coreProperties>
</file>